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CS-santhoshi\Desktop\Submission\"/>
    </mc:Choice>
  </mc:AlternateContent>
  <xr:revisionPtr revIDLastSave="0" documentId="13_ncr:1_{524A0B79-F62D-469C-B202-165591F9B103}" xr6:coauthVersionLast="41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B8" i="18" l="1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16" i="16"/>
  <c r="E16" i="16"/>
  <c r="D16" i="16"/>
  <c r="C16" i="16"/>
  <c r="B16" i="16"/>
  <c r="E30" i="18"/>
  <c r="F30" i="18"/>
  <c r="F29" i="18"/>
  <c r="E29" i="18"/>
  <c r="F28" i="18"/>
  <c r="E28" i="18"/>
  <c r="B7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E25" i="18"/>
  <c r="F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6" i="18"/>
  <c r="E27" i="18"/>
  <c r="D7" i="18"/>
  <c r="D28" i="18" s="1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D29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9" i="18" s="1"/>
  <c r="C30" i="18" l="1"/>
  <c r="B28" i="18"/>
  <c r="B29" i="18" s="1"/>
  <c r="C28" i="18"/>
  <c r="D30" i="18"/>
  <c r="C22" i="19"/>
  <c r="B30" i="18" l="1"/>
  <c r="H42" i="1"/>
</calcChain>
</file>

<file path=xl/sharedStrings.xml><?xml version="1.0" encoding="utf-8"?>
<sst xmlns="http://schemas.openxmlformats.org/spreadsheetml/2006/main" count="330" uniqueCount="185">
  <si>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</si>
  <si>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</si>
  <si>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</si>
  <si>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</si>
  <si>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</si>
  <si>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</si>
  <si>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</si>
  <si>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</si>
  <si>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</si>
  <si>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</si>
  <si>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</si>
  <si>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</si>
  <si>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</si>
  <si>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</si>
  <si>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</si>
  <si>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</si>
  <si>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</si>
  <si>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</si>
  <si>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</si>
  <si>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</si>
  <si>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</si>
  <si>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</si>
  <si>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</si>
  <si>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</si>
  <si>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</si>
  <si>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</si>
  <si>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</si>
  <si>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</si>
  <si>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</si>
  <si>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</si>
  <si>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</si>
  <si>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</si>
  <si>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</si>
  <si>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</si>
  <si>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</si>
  <si>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</si>
  <si>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</si>
  <si>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</si>
  <si>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</si>
  <si>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</si>
  <si>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</si>
  <si>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</si>
  <si>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</si>
  <si>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</si>
  <si>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</si>
  <si>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</si>
  <si>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</si>
  <si>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</si>
  <si>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</si>
  <si>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</si>
  <si>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</si>
  <si>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</si>
  <si>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</si>
  <si>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</si>
  <si>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</si>
  <si>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</si>
  <si>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</si>
  <si>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</si>
  <si>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</si>
  <si>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</si>
  <si>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</si>
  <si>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</si>
  <si>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</si>
  <si>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</si>
  <si>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</si>
  <si>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</si>
  <si>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</si>
  <si>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</si>
  <si>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</si>
  <si>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</si>
  <si>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</si>
  <si>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</si>
  <si>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</si>
  <si>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</si>
  <si>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</si>
  <si>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</si>
  <si>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</si>
  <si>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</si>
  <si>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</si>
  <si>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</si>
  <si>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</si>
  <si>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</si>
  <si>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</si>
  <si>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</si>
  <si>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</si>
  <si>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</si>
  <si>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</si>
  <si>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</si>
  <si>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</si>
  <si>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</si>
  <si>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</si>
  <si>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</si>
  <si>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</si>
  <si>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</si>
  <si>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</si>
  <si>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</si>
  <si>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</si>
  <si>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</si>
  <si>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</si>
  <si>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</si>
  <si>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</si>
  <si>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</si>
  <si>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</si>
  <si>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</si>
  <si>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</si>
  <si>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</si>
  <si>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</si>
  <si>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</si>
  <si>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</si>
  <si>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</si>
  <si>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</si>
  <si>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</si>
  <si>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</si>
  <si>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</si>
  <si>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</si>
  <si>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</si>
  <si>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</si>
  <si>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</si>
  <si>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</si>
  <si>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</si>
  <si>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</si>
  <si>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</si>
  <si>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</si>
  <si>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</si>
  <si>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</si>
  <si>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</si>
  <si>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</si>
  <si>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</si>
  <si>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</si>
  <si>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</si>
  <si>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</si>
  <si>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</si>
  <si>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</si>
  <si>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</si>
  <si>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</si>
  <si>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</si>
  <si>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</si>
  <si>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</si>
  <si>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</si>
  <si>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</si>
  <si>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</si>
  <si>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</si>
  <si>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</si>
  <si>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</si>
  <si>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</si>
  <si>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</si>
  <si>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</si>
  <si>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</si>
  <si>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</si>
  <si>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</si>
  <si>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</si>
  <si>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</si>
  <si>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</si>
  <si>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</si>
  <si>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</si>
  <si>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</si>
  <si>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</si>
  <si>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</si>
  <si>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</si>
  <si>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</si>
  <si>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</si>
  <si>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</si>
  <si>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</si>
  <si>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</si>
  <si>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</si>
  <si>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</si>
  <si>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</si>
  <si>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</si>
  <si>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</si>
  <si>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</si>
  <si>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</si>
  <si>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</si>
  <si>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</si>
  <si>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</si>
  <si>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</si>
  <si>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</si>
  <si>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sumif(A1:X40,"&gt;20",H1:H40)</t>
  </si>
  <si>
    <t>Q3. Sum of all &gt;20</t>
  </si>
  <si>
    <t>Completed.</t>
  </si>
  <si>
    <t>All 20 values must be substituted with the value '20'</t>
  </si>
  <si>
    <t>First of all, I selected the #N/A cell and click on the Find&amp;Select ribbon on Home tab then I click on Replace then in Find What place I entered #N/A and in Replace place I entered 20 then I click on Replace All and finally all #N/A cells are substituated with the value 20.</t>
  </si>
  <si>
    <t xml:space="preserve"> And I calculated sum of sales.</t>
  </si>
  <si>
    <t xml:space="preserve">In the Table_A values split by left() and mid() and right() functions. </t>
  </si>
  <si>
    <t>Actually I used Correct formula but my Excel is not supported to that formula because of my excel version is 2019</t>
  </si>
  <si>
    <t>VLOOKUP(A23, A9:J18, 1,FALSE ) + VLOOKUP(B23,M9:N18,2,FALSE)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</si>
</sst>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0" sqref="A10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172</v>
      </c>
    </row>
    <row r="9" spans="1:3" x14ac:dyDescent="0.2">
      <c r="A9" s="35" t="s">
        <v>170</v>
      </c>
      <c r="B9" s="25" t="s">
        <v>168</v>
      </c>
    </row>
    <row r="10" spans="1:3" x14ac:dyDescent="0.2">
      <c r="A10" s="34" t="s">
        <v>171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L1" zoomScaleNormal="100" workbookViewId="0">
      <pane ySplit="1" topLeftCell="A22" activePane="bottomLeft" state="frozen"/>
      <selection pane="bottomLeft" activeCell="A4" sqref="A4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25">
      <c r="F42" s="23" t="s">
        <v>177</v>
      </c>
      <c r="H42" s="1">
        <f ca="1">SUMIF(A1:X40,"&gt;20",H1:H40)</f>
        <v>1236495.3000000017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8" sqref="B8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176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8" spans="1:5" x14ac:dyDescent="0.25">
      <c r="B8" s="1" t="s">
        <v>178</v>
      </c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B9" sqref="B9"/>
    </sheetView>
  </sheetViews>
  <sheetFormatPr defaultColWidth="11" defaultRowHeight="12.75" x14ac:dyDescent="0.2"/>
  <cols>
    <col min="1" max="1" width="20.5" style="2" customWidth="1"/>
    <col min="2" max="2" width="17.1640625" style="2" customWidth="1"/>
    <col min="3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VLOOKUP(A6,Dataset!$A$1:$X$40,7,TRUE)</f>
        <v>49.1</v>
      </c>
      <c r="C6" s="11">
        <f>VLOOKUP(A6,Dataset!A1:X40,14,TRUE)</f>
        <v>146.80000000000001</v>
      </c>
      <c r="D6" s="11">
        <f>VLOOKUP(A6,Dataset!A1:X40,18,TRUE)</f>
        <v>90.9</v>
      </c>
      <c r="E6" s="11">
        <f>VLOOKUP(A6,Dataset!A1:X40,20,TRUE)</f>
        <v>183.5</v>
      </c>
      <c r="F6" s="8">
        <f>VLOOKUP(A6,Dataset!A1:X40,22,TRUE)</f>
        <v>90.9</v>
      </c>
    </row>
    <row r="7" spans="1:7" ht="15" x14ac:dyDescent="0.25">
      <c r="A7" s="7" t="s">
        <v>4</v>
      </c>
      <c r="B7" s="11">
        <f>VLOOKUP(A7,Dataset!$A$1:$X$40,7,TRUE)</f>
        <v>18.399999999999999</v>
      </c>
      <c r="C7" s="11">
        <f>VLOOKUP(A7,Dataset!A2:X41,14,TRUE)</f>
        <v>55.6</v>
      </c>
      <c r="D7" s="11">
        <f>VLOOKUP(A7,Dataset!A2:X41,18,TRUE)</f>
        <v>33.799999999999997</v>
      </c>
      <c r="E7" s="11">
        <f>VLOOKUP(A7,Dataset!A2:X41,20,TRUE)</f>
        <v>67.900000000000006</v>
      </c>
      <c r="F7" s="8">
        <f>VLOOKUP(A7,Dataset!A2:X41,22,TRUE)</f>
        <v>33.799999999999997</v>
      </c>
    </row>
    <row r="8" spans="1:7" ht="15" x14ac:dyDescent="0.25">
      <c r="A8" s="7" t="s">
        <v>7</v>
      </c>
      <c r="B8" s="11">
        <f>VLOOKUP(A8,Dataset!$A$1:$X$40,7,FALSE)</f>
        <v>3.6</v>
      </c>
      <c r="C8" s="11">
        <f>VLOOKUP(A8,Dataset!A3:X42,14,TRUE)</f>
        <v>11.1</v>
      </c>
      <c r="D8" s="11">
        <f>VLOOKUP(A8,Dataset!A3:X42,18,TRUE)</f>
        <v>5.8</v>
      </c>
      <c r="E8" s="11">
        <f>VLOOKUP(A8,Dataset!A3:X42,20,TRUE)</f>
        <v>12.2</v>
      </c>
      <c r="F8" s="8">
        <f>VLOOKUP(A8,Dataset!A3:X42,22,TRUE)</f>
        <v>5.8</v>
      </c>
    </row>
    <row r="9" spans="1:7" ht="15" x14ac:dyDescent="0.25">
      <c r="A9" s="7" t="s">
        <v>8</v>
      </c>
      <c r="B9" s="11">
        <f>VLOOKUP(A9,Dataset!$A$1:$X$40,7,TRUE)</f>
        <v>30.7</v>
      </c>
      <c r="C9" s="11">
        <f>VLOOKUP(A9,Dataset!A4:X43,14,TRUE)</f>
        <v>0</v>
      </c>
      <c r="D9" s="11">
        <f>VLOOKUP(A9,Dataset!A4:X43,18,TRUE)</f>
        <v>0</v>
      </c>
      <c r="E9" s="11">
        <f>VLOOKUP(A9,Dataset!A4:X43,20,TRUE)</f>
        <v>0</v>
      </c>
      <c r="F9" s="8">
        <f>VLOOKUP(A9,Dataset!A4:X43,22,TRUE)</f>
        <v>0</v>
      </c>
    </row>
    <row r="10" spans="1:7" ht="15" x14ac:dyDescent="0.25">
      <c r="A10" s="7" t="s">
        <v>11</v>
      </c>
      <c r="B10" s="11">
        <f>VLOOKUP(A10,Dataset!$A$1:$X$40,7,TRUE)</f>
        <v>26.8</v>
      </c>
      <c r="C10" s="11">
        <f>VLOOKUP(A10,Dataset!A5:X44,14,TRUE)</f>
        <v>79.599999999999994</v>
      </c>
      <c r="D10" s="11">
        <f>VLOOKUP(A10,Dataset!A5:X44,18,TRUE)</f>
        <v>47.9</v>
      </c>
      <c r="E10" s="11">
        <f>VLOOKUP(A10,Dataset!A5:X44,20,TRUE)</f>
        <v>96.8</v>
      </c>
      <c r="F10" s="8">
        <f>VLOOKUP(A10,Dataset!A5:X44,22,TRUE)</f>
        <v>47.9</v>
      </c>
    </row>
    <row r="11" spans="1:7" ht="15" x14ac:dyDescent="0.25">
      <c r="A11" s="7" t="s">
        <v>12</v>
      </c>
      <c r="B11" s="11">
        <f>VLOOKUP(A11,Dataset!$A$1:$X$40,7,TRUE)</f>
        <v>0</v>
      </c>
      <c r="C11" s="11">
        <f>VLOOKUP(A11,Dataset!A6:X45,14,TRUE)</f>
        <v>146.80000000000001</v>
      </c>
      <c r="D11" s="11">
        <f>VLOOKUP(A11,Dataset!A6:X45,18,TRUE)</f>
        <v>90.9</v>
      </c>
      <c r="E11" s="11">
        <f>VLOOKUP(A11,Dataset!A6:X45,20,TRUE)</f>
        <v>183.5</v>
      </c>
      <c r="F11" s="8">
        <f>VLOOKUP(A11,Dataset!A6:X45,22,TRUE)</f>
        <v>90.9</v>
      </c>
    </row>
    <row r="12" spans="1:7" ht="15" x14ac:dyDescent="0.25">
      <c r="A12" s="7" t="s">
        <v>14</v>
      </c>
      <c r="B12" s="11">
        <f>VLOOKUP(A12,Dataset!$A$1:$X$40,7,TRUE)</f>
        <v>18.399999999999999</v>
      </c>
      <c r="C12" s="11">
        <f>VLOOKUP(A12,Dataset!A7:X46,14,TRUE)</f>
        <v>55.6</v>
      </c>
      <c r="D12" s="11">
        <f>VLOOKUP(A12,Dataset!A7:X46,18,TRUE)</f>
        <v>33.799999999999997</v>
      </c>
      <c r="E12" s="11">
        <f>VLOOKUP(A12,Dataset!A7:X46,20,TRUE)</f>
        <v>67.900000000000006</v>
      </c>
      <c r="F12" s="8">
        <f>VLOOKUP(A12,Dataset!A7:X46,22,TRUE)</f>
        <v>33.799999999999997</v>
      </c>
    </row>
    <row r="13" spans="1:7" ht="15" x14ac:dyDescent="0.25">
      <c r="A13" s="7" t="s">
        <v>15</v>
      </c>
      <c r="B13" s="11">
        <f>VLOOKUP(A13,Dataset!$A$1:$X$40,7,TRUE)</f>
        <v>26.8</v>
      </c>
      <c r="C13" s="11">
        <f>VLOOKUP(A13,Dataset!A8:X47,14,TRUE)</f>
        <v>0</v>
      </c>
      <c r="D13" s="11">
        <f>VLOOKUP(A13,Dataset!A8:X47,18,TRUE)</f>
        <v>0</v>
      </c>
      <c r="E13" s="11">
        <f>VLOOKUP(A13,Dataset!A8:X47,20,TRUE)</f>
        <v>0</v>
      </c>
      <c r="F13" s="8">
        <f>VLOOKUP(A13,Dataset!A8:X47,22,TRUE)</f>
        <v>0</v>
      </c>
    </row>
    <row r="14" spans="1:7" ht="15" x14ac:dyDescent="0.25">
      <c r="A14" s="7" t="s">
        <v>16</v>
      </c>
      <c r="B14" s="11">
        <f>VLOOKUP(A14,Dataset!$A$1:$X$40,7,TRUE)</f>
        <v>50.6</v>
      </c>
      <c r="C14" s="11">
        <f>VLOOKUP(A14,Dataset!A9:X48,14,TRUE)</f>
        <v>151.5</v>
      </c>
      <c r="D14" s="11">
        <f>VLOOKUP(A14,Dataset!A9:X48,18,TRUE)</f>
        <v>93.1</v>
      </c>
      <c r="E14" s="11">
        <f>VLOOKUP(A14,Dataset!A9:X48,20,TRUE)</f>
        <v>188.1</v>
      </c>
      <c r="F14" s="8">
        <f>VLOOKUP(A14,Dataset!A9:X48,22,TRUE)</f>
        <v>93.1</v>
      </c>
    </row>
    <row r="15" spans="1:7" ht="15" x14ac:dyDescent="0.25">
      <c r="A15" s="7" t="s">
        <v>18</v>
      </c>
      <c r="B15" s="11">
        <f>VLOOKUP(A15,Dataset!$A$1:$X$40,7,TRUE)</f>
        <v>26.8</v>
      </c>
      <c r="C15" s="11">
        <f>VLOOKUP(A15,Dataset!A10:X49,14,TRUE)</f>
        <v>128.6</v>
      </c>
      <c r="D15" s="11">
        <f>VLOOKUP(A15,Dataset!A10:X49,18,TRUE)</f>
        <v>77.2</v>
      </c>
      <c r="E15" s="11">
        <f>VLOOKUP(A15,Dataset!A10:X49,20,TRUE)</f>
        <v>156.4</v>
      </c>
      <c r="F15" s="8">
        <f>VLOOKUP(A15,Dataset!A10:X49,22,TRUE)</f>
        <v>77.2</v>
      </c>
    </row>
    <row r="16" spans="1:7" ht="15" x14ac:dyDescent="0.25">
      <c r="A16" s="7" t="s">
        <v>20</v>
      </c>
      <c r="B16" s="11">
        <f>VLOOKUP(A16,Dataset!$A$1:$X$40,7,TRUE)</f>
        <v>28.5</v>
      </c>
      <c r="C16" s="11">
        <f>VLOOKUP(A16,Dataset!A11:X50,14,TRUE)</f>
        <v>85.4</v>
      </c>
      <c r="D16" s="11">
        <f>VLOOKUP(A16,Dataset!A11:X50,18,TRUE)</f>
        <v>52.3</v>
      </c>
      <c r="E16" s="11">
        <f>VLOOKUP(A16,Dataset!A11:X50,20,TRUE)</f>
        <v>106.1</v>
      </c>
      <c r="F16" s="8">
        <f>VLOOKUP(A16,Dataset!A11:X50,22,TRUE)</f>
        <v>52.3</v>
      </c>
    </row>
    <row r="17" spans="1:6" ht="15" x14ac:dyDescent="0.25">
      <c r="A17" s="7" t="s">
        <v>22</v>
      </c>
      <c r="B17" s="11">
        <f>VLOOKUP(A17,Dataset!$A$1:$X$40,7,TRUE)</f>
        <v>30.7</v>
      </c>
      <c r="C17" s="11">
        <f>VLOOKUP(A17,Dataset!A12:X51,14,TRUE)</f>
        <v>92.1</v>
      </c>
      <c r="D17" s="11">
        <f>VLOOKUP(A17,Dataset!A12:X51,18,TRUE)</f>
        <v>57</v>
      </c>
      <c r="E17" s="11">
        <f>VLOOKUP(A17,Dataset!A12:X51,20,TRUE)</f>
        <v>115.1</v>
      </c>
      <c r="F17" s="8">
        <f>VLOOKUP(A17,Dataset!A12:X51,22,TRUE)</f>
        <v>57</v>
      </c>
    </row>
    <row r="18" spans="1:6" ht="15" x14ac:dyDescent="0.25">
      <c r="A18" s="7" t="s">
        <v>23</v>
      </c>
      <c r="B18" s="11">
        <f>VLOOKUP(A18,Dataset!$A$1:$X$40,7,TRUE)</f>
        <v>33.799999999999997</v>
      </c>
      <c r="C18" s="11">
        <f>VLOOKUP(A18,Dataset!A13:X52,14,TRUE)</f>
        <v>142.5</v>
      </c>
      <c r="D18" s="11">
        <f>VLOOKUP(A18,Dataset!A13:X52,18,TRUE)</f>
        <v>86.4</v>
      </c>
      <c r="E18" s="11">
        <f>VLOOKUP(A18,Dataset!A13:X52,20,TRUE)</f>
        <v>174.2</v>
      </c>
      <c r="F18" s="8">
        <f>VLOOKUP(A18,Dataset!A13:X52,22,TRUE)</f>
        <v>86.4</v>
      </c>
    </row>
    <row r="19" spans="1:6" ht="15" x14ac:dyDescent="0.25">
      <c r="A19" s="7" t="s">
        <v>24</v>
      </c>
      <c r="B19" s="11">
        <f>VLOOKUP(A19,Dataset!$A$1:$X$40,7,TRUE)</f>
        <v>30.7</v>
      </c>
      <c r="C19" s="11">
        <f>VLOOKUP(A19,Dataset!A14:X53,14,TRUE)</f>
        <v>142.5</v>
      </c>
      <c r="D19" s="11">
        <f>VLOOKUP(A19,Dataset!A14:X53,18,TRUE)</f>
        <v>86.4</v>
      </c>
      <c r="E19" s="11">
        <f>VLOOKUP(A19,Dataset!A14:X53,20,TRUE)</f>
        <v>174.2</v>
      </c>
      <c r="F19" s="8">
        <f>VLOOKUP(A19,Dataset!A14:X53,22,TRUE)</f>
        <v>86.4</v>
      </c>
    </row>
    <row r="20" spans="1:6" ht="15" x14ac:dyDescent="0.25">
      <c r="A20" s="7" t="s">
        <v>28</v>
      </c>
      <c r="B20" s="11">
        <f>VLOOKUP(A20,Dataset!$A$1:$X$40,7,TRUE)</f>
        <v>26.8</v>
      </c>
      <c r="C20" s="11">
        <f>VLOOKUP(A20,Dataset!A15:X54,14,TRUE)</f>
        <v>79.599999999999994</v>
      </c>
      <c r="D20" s="11">
        <f>VLOOKUP(A20,Dataset!A15:X54,18,TRUE)</f>
        <v>47.9</v>
      </c>
      <c r="E20" s="11">
        <f>VLOOKUP(A20,Dataset!A15:X54,20,TRUE)</f>
        <v>96.8</v>
      </c>
      <c r="F20" s="8">
        <f>VLOOKUP(A20,Dataset!A15:X54,22,TRUE)</f>
        <v>47.9</v>
      </c>
    </row>
    <row r="21" spans="1:6" ht="15" x14ac:dyDescent="0.25">
      <c r="A21" s="7" t="s">
        <v>57</v>
      </c>
      <c r="B21" s="11">
        <f>VLOOKUP(A21,Dataset!$A$1:$X$40,7,TRUE)</f>
        <v>49.1</v>
      </c>
      <c r="C21" s="11">
        <f>VLOOKUP(A21,Dataset!A16:X55,14,TRUE)</f>
        <v>146.80000000000001</v>
      </c>
      <c r="D21" s="11">
        <f>VLOOKUP(A21,Dataset!A16:X55,18,TRUE)</f>
        <v>90.9</v>
      </c>
      <c r="E21" s="11">
        <f>VLOOKUP(A21,Dataset!A16:X55,20,TRUE)</f>
        <v>183.5</v>
      </c>
      <c r="F21" s="8">
        <f>VLOOKUP(A21,Dataset!A16:X55,22,TRUE)</f>
        <v>90.9</v>
      </c>
    </row>
    <row r="22" spans="1:6" ht="15" x14ac:dyDescent="0.25">
      <c r="A22" s="7" t="s">
        <v>58</v>
      </c>
      <c r="B22" s="11">
        <f>VLOOKUP(A22,Dataset!$A$1:$X$40,7,TRUE)</f>
        <v>-1</v>
      </c>
      <c r="C22" s="11">
        <f>VLOOKUP(A22,Dataset!A17:X56,14,TRUE)</f>
        <v>146.80000000000001</v>
      </c>
      <c r="D22" s="11">
        <f>VLOOKUP(A22,Dataset!A17:X56,18,TRUE)</f>
        <v>90.9</v>
      </c>
      <c r="E22" s="11">
        <f>VLOOKUP(A22,Dataset!A17:X56,20,TRUE)</f>
        <v>183.5</v>
      </c>
      <c r="F22" s="8">
        <f>VLOOKUP(A22,Dataset!A17:X56,22,TRUE)</f>
        <v>90.9</v>
      </c>
    </row>
    <row r="23" spans="1:6" ht="15" x14ac:dyDescent="0.25">
      <c r="A23" s="7" t="s">
        <v>31</v>
      </c>
      <c r="B23" s="11">
        <f>VLOOKUP(A23,Dataset!$A$1:$X$40,7,TRUE)</f>
        <v>30.7</v>
      </c>
      <c r="C23" s="11">
        <f>VLOOKUP(A23,Dataset!A18:X57,14,TRUE)</f>
        <v>110.3</v>
      </c>
      <c r="D23" s="11">
        <f>VLOOKUP(A23,Dataset!A18:X57,18,TRUE)</f>
        <v>65.900000000000006</v>
      </c>
      <c r="E23" s="11">
        <f>VLOOKUP(A23,Dataset!A18:X57,20,TRUE)</f>
        <v>133.4</v>
      </c>
      <c r="F23" s="8">
        <f>VLOOKUP(A23,Dataset!A18:X57,22,TRUE)</f>
        <v>65.900000000000006</v>
      </c>
    </row>
    <row r="24" spans="1:6" ht="15" x14ac:dyDescent="0.25">
      <c r="A24" s="7" t="s">
        <v>32</v>
      </c>
      <c r="B24" s="11">
        <f>VLOOKUP(A24,Dataset!$A$1:$X$40,7,TRUE)</f>
        <v>30.7</v>
      </c>
      <c r="C24" s="11">
        <f>VLOOKUP(A24,Dataset!A19:X58,14,TRUE)</f>
        <v>92.1</v>
      </c>
      <c r="D24" s="11">
        <f>VLOOKUP(A24,Dataset!A19:X58,18,TRUE)</f>
        <v>57</v>
      </c>
      <c r="E24" s="11">
        <f>VLOOKUP(A24,Dataset!A19:X58,20,TRUE)</f>
        <v>115.1</v>
      </c>
      <c r="F24" s="8">
        <f>VLOOKUP(A24,Dataset!A19:X58,22,TRUE)</f>
        <v>57</v>
      </c>
    </row>
    <row r="25" spans="1:6" ht="15" x14ac:dyDescent="0.25">
      <c r="A25" s="7" t="s">
        <v>34</v>
      </c>
      <c r="B25" s="11">
        <f>VLOOKUP(A25,Dataset!$A$1:$X$40,7,TRUE)</f>
        <v>30.7</v>
      </c>
      <c r="C25" s="11">
        <f>VLOOKUP(A25,Dataset!A20:X59,14,TRUE)</f>
        <v>128.6</v>
      </c>
      <c r="D25" s="11">
        <f>VLOOKUP(A25,Dataset!A20:X59,18,TRUE)</f>
        <v>79.400000000000006</v>
      </c>
      <c r="E25" s="11">
        <f>VLOOKUP(A25,Dataset!A20:X59,20,TRUE)</f>
        <v>160.9</v>
      </c>
      <c r="F25" s="8">
        <f>VLOOKUP(A25,Dataset!A20:X59,22,TRUE)</f>
        <v>79.400000000000006</v>
      </c>
    </row>
    <row r="26" spans="1:6" ht="15" x14ac:dyDescent="0.25">
      <c r="A26" s="7" t="s">
        <v>37</v>
      </c>
      <c r="B26" s="11">
        <f>VLOOKUP(A26,Dataset!$A$1:$X$40,7,TRUE)</f>
        <v>30.7</v>
      </c>
      <c r="C26" s="11">
        <f>VLOOKUP(A26,Dataset!A21:X60,14,TRUE)</f>
        <v>0</v>
      </c>
      <c r="D26" s="11">
        <f>VLOOKUP(A26,Dataset!A21:X60,18,TRUE)</f>
        <v>0</v>
      </c>
      <c r="E26" s="11">
        <f>VLOOKUP(A26,Dataset!A21:X60,20,TRUE)</f>
        <v>0</v>
      </c>
      <c r="F26" s="8">
        <f>VLOOKUP(A26,Dataset!A21:X60,22,TRUE)</f>
        <v>0</v>
      </c>
    </row>
    <row r="27" spans="1:6" ht="15" x14ac:dyDescent="0.25">
      <c r="A27" s="7" t="s">
        <v>39</v>
      </c>
      <c r="B27" s="11">
        <f>VLOOKUP(A27,Dataset!$A$1:$X$40,7,TRUE)</f>
        <v>51.8</v>
      </c>
      <c r="C27" s="11">
        <f>VLOOKUP(A27,Dataset!A22:X61,14,TRUE)</f>
        <v>156.4</v>
      </c>
      <c r="D27" s="11">
        <f>VLOOKUP(A27,Dataset!A22:X61,18,TRUE)</f>
        <v>93.1</v>
      </c>
      <c r="E27" s="11">
        <f>VLOOKUP(A27,Dataset!A22:X61,20,TRUE)</f>
        <v>188.1</v>
      </c>
      <c r="F27" s="8">
        <f>VLOOKUP(A27,Dataset!A22:X61,22,TRUE)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>MIN(C6:C27)</f>
        <v>0</v>
      </c>
      <c r="D28" s="30">
        <f>MIN(D6:D27)</f>
        <v>0</v>
      </c>
      <c r="E28" s="30">
        <f>MIN(E6:E27)</f>
        <v>0</v>
      </c>
      <c r="F28" s="30">
        <f>MIN(F6:F27)</f>
        <v>0</v>
      </c>
    </row>
    <row r="29" spans="1:6" ht="15" x14ac:dyDescent="0.25">
      <c r="A29" s="18" t="s">
        <v>83</v>
      </c>
      <c r="B29" s="30">
        <f t="shared" ref="B29:B30" si="0">MIN(B7:B28)</f>
        <v>-1</v>
      </c>
      <c r="C29" s="30">
        <f>MAX(C6:C27)</f>
        <v>156.4</v>
      </c>
      <c r="D29" s="30">
        <f>MAX(D6:D27)</f>
        <v>93.1</v>
      </c>
      <c r="E29" s="30">
        <f t="shared" ref="E29:F29" si="1">MAX(E6:E27)</f>
        <v>188.1</v>
      </c>
      <c r="F29" s="30">
        <f>MAX(F6:F27)</f>
        <v>93.1</v>
      </c>
    </row>
    <row r="30" spans="1:6" ht="15" x14ac:dyDescent="0.25">
      <c r="A30" s="18" t="s">
        <v>84</v>
      </c>
      <c r="B30" s="30">
        <f t="shared" si="0"/>
        <v>-1</v>
      </c>
      <c r="C30" s="30">
        <f>AVERAGE(C6:C27)</f>
        <v>95.395454545454513</v>
      </c>
      <c r="D30" s="30">
        <f>AVERAGE(D6:D27)</f>
        <v>58.209090909090904</v>
      </c>
      <c r="E30" s="30">
        <f t="shared" ref="E30:F30" si="2">AVERAGE(E6:E27)</f>
        <v>117.6</v>
      </c>
      <c r="F30" s="30">
        <f t="shared" si="2"/>
        <v>58.209090909090904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2" zoomScaleNormal="100" workbookViewId="0">
      <selection activeCell="I9" sqref="I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182</v>
      </c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 t="str">
        <f>LEFT(A16,5)</f>
        <v>20000</v>
      </c>
      <c r="C16" s="1" t="str">
        <f>MID(A16,7,6)</f>
        <v>Monday</v>
      </c>
      <c r="D16" s="11" t="str">
        <f>MID(A16,14,1)</f>
        <v>0</v>
      </c>
      <c r="E16" s="1" t="str">
        <f>MID(A16,16,6)</f>
        <v>Sunday</v>
      </c>
      <c r="F16" s="11" t="str">
        <f>RIGHT(A16,2)</f>
        <v>24</v>
      </c>
    </row>
    <row r="17" spans="1:6" x14ac:dyDescent="0.25">
      <c r="A17" s="7" t="s">
        <v>122</v>
      </c>
      <c r="B17" s="11" t="str">
        <f t="shared" ref="B17:B54" si="0">LEFT(A17,5)</f>
        <v>20002</v>
      </c>
      <c r="C17" s="1" t="str">
        <f t="shared" ref="C17:C54" si="1">MID(A17,7,6)</f>
        <v>Monday</v>
      </c>
      <c r="D17" s="11" t="str">
        <f t="shared" ref="D17:D54" si="2">MID(A17,14,1)</f>
        <v>0</v>
      </c>
      <c r="E17" s="1" t="str">
        <f t="shared" ref="E17:E54" si="3">MID(A17,16,6)</f>
        <v>Sunday</v>
      </c>
      <c r="F17" s="11" t="str">
        <f t="shared" ref="F17:F54" si="4">RIGHT(A17,2)</f>
        <v>24</v>
      </c>
    </row>
    <row r="18" spans="1:6" x14ac:dyDescent="0.25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25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25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25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25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25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25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25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25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25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25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25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25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25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25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25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25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25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25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25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25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25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25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25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25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25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25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25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25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25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25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25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25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25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25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25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25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U22"/>
  <sheetViews>
    <sheetView zoomScaleNormal="100" workbookViewId="0">
      <selection activeCell="T10" sqref="T10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27.5" style="2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21" ht="21" x14ac:dyDescent="0.35">
      <c r="A1" s="41" t="s">
        <v>85</v>
      </c>
      <c r="B1" s="40" t="s">
        <v>166</v>
      </c>
    </row>
    <row r="2" spans="1:21" ht="18.75" x14ac:dyDescent="0.3">
      <c r="B2" s="39" t="s">
        <v>179</v>
      </c>
    </row>
    <row r="5" spans="1:21" ht="15" x14ac:dyDescent="0.25">
      <c r="B5" s="1" t="s">
        <v>151</v>
      </c>
    </row>
    <row r="6" spans="1:21" ht="15" x14ac:dyDescent="0.25">
      <c r="A6" s="3" t="s">
        <v>53</v>
      </c>
      <c r="B6" s="1"/>
      <c r="C6" s="2" t="s">
        <v>180</v>
      </c>
      <c r="U6" s="2" t="s">
        <v>181</v>
      </c>
    </row>
    <row r="7" spans="1:21" ht="15" x14ac:dyDescent="0.25">
      <c r="A7" s="3" t="s">
        <v>153</v>
      </c>
      <c r="B7" s="1"/>
    </row>
    <row r="10" spans="1:21" ht="23.25" x14ac:dyDescent="0.35">
      <c r="A10" s="17" t="s">
        <v>162</v>
      </c>
    </row>
    <row r="11" spans="1:21" ht="15" x14ac:dyDescent="0.25">
      <c r="A11" s="31" t="s">
        <v>86</v>
      </c>
      <c r="B11" s="16" t="s">
        <v>87</v>
      </c>
      <c r="C11" s="16" t="s">
        <v>88</v>
      </c>
    </row>
    <row r="12" spans="1:21" ht="15" x14ac:dyDescent="0.25">
      <c r="A12" s="31">
        <v>44927</v>
      </c>
      <c r="B12" s="16" t="s">
        <v>59</v>
      </c>
      <c r="C12" s="16">
        <v>200</v>
      </c>
    </row>
    <row r="13" spans="1:21" ht="15" x14ac:dyDescent="0.25">
      <c r="A13" s="31">
        <v>44928</v>
      </c>
      <c r="B13" s="16" t="s">
        <v>60</v>
      </c>
      <c r="C13" s="16">
        <v>20</v>
      </c>
    </row>
    <row r="14" spans="1:21" ht="15" x14ac:dyDescent="0.25">
      <c r="A14" s="31">
        <v>44929</v>
      </c>
      <c r="B14" s="16" t="s">
        <v>61</v>
      </c>
      <c r="C14" s="16">
        <v>50</v>
      </c>
    </row>
    <row r="15" spans="1:21" ht="15" x14ac:dyDescent="0.25">
      <c r="A15" s="31">
        <v>44930</v>
      </c>
      <c r="B15" s="16" t="s">
        <v>62</v>
      </c>
      <c r="C15" s="16">
        <v>20</v>
      </c>
    </row>
    <row r="16" spans="1:21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>
        <v>20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>
        <v>20</v>
      </c>
    </row>
    <row r="22" spans="1:3" ht="15" x14ac:dyDescent="0.2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M4" sqref="M4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174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  <c r="D4" s="2" t="s">
        <v>183</v>
      </c>
    </row>
    <row r="5" spans="1:14" ht="18.75" x14ac:dyDescent="0.3">
      <c r="A5" s="42" t="s">
        <v>153</v>
      </c>
      <c r="B5" s="1"/>
      <c r="F5" s="2" t="s">
        <v>184</v>
      </c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167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 t="e">
        <f>VLOOKUP(A23, A9:J18, 1,FALSE ) + VLOOKUP(B23,M9:N18,2,FALSE)</f>
        <v>#N/A</v>
      </c>
    </row>
    <row r="24" spans="1:14" ht="15" x14ac:dyDescent="0.25">
      <c r="A24" s="7">
        <v>10100</v>
      </c>
      <c r="B24" s="11">
        <v>10104</v>
      </c>
      <c r="C24" s="43" t="e">
        <f t="shared" ref="C24:C35" si="0">VLOOKUP(A24, A10:J19, 1,FALSE ) + VLOOKUP(B24,M10:N19,2,FALSE)</f>
        <v>#N/A</v>
      </c>
    </row>
    <row r="25" spans="1:14" ht="15" x14ac:dyDescent="0.25">
      <c r="A25" s="7">
        <v>10108</v>
      </c>
      <c r="B25" s="11">
        <v>10102</v>
      </c>
      <c r="C25" s="43" t="e">
        <f t="shared" si="0"/>
        <v>#N/A</v>
      </c>
    </row>
    <row r="26" spans="1:14" ht="15" x14ac:dyDescent="0.25">
      <c r="A26" s="7">
        <v>10100</v>
      </c>
      <c r="B26" s="11">
        <v>10106</v>
      </c>
      <c r="C26" s="43" t="e">
        <f t="shared" si="0"/>
        <v>#N/A</v>
      </c>
    </row>
    <row r="27" spans="1:14" ht="15" x14ac:dyDescent="0.25">
      <c r="A27" s="7">
        <v>10108</v>
      </c>
      <c r="B27" s="11">
        <v>10110</v>
      </c>
      <c r="C27" s="43" t="e">
        <f t="shared" si="0"/>
        <v>#N/A</v>
      </c>
    </row>
    <row r="28" spans="1:14" ht="15" x14ac:dyDescent="0.25">
      <c r="A28" s="7">
        <v>10102</v>
      </c>
      <c r="B28" s="11">
        <v>10104</v>
      </c>
      <c r="C28" s="43" t="e">
        <f t="shared" si="0"/>
        <v>#N/A</v>
      </c>
    </row>
    <row r="29" spans="1:14" ht="15" x14ac:dyDescent="0.25">
      <c r="A29" s="7">
        <v>10106</v>
      </c>
      <c r="B29" s="11">
        <v>10108</v>
      </c>
      <c r="C29" s="43" t="e">
        <f t="shared" si="0"/>
        <v>#N/A</v>
      </c>
    </row>
    <row r="30" spans="1:14" ht="15" x14ac:dyDescent="0.25">
      <c r="A30" s="7">
        <v>10102</v>
      </c>
      <c r="B30" s="11">
        <v>10106</v>
      </c>
      <c r="C30" s="43" t="e">
        <f t="shared" si="0"/>
        <v>#N/A</v>
      </c>
    </row>
    <row r="31" spans="1:14" ht="15" x14ac:dyDescent="0.25">
      <c r="A31" s="7">
        <v>10110</v>
      </c>
      <c r="B31" s="11">
        <v>10114</v>
      </c>
      <c r="C31" s="43" t="e">
        <f t="shared" si="0"/>
        <v>#N/A</v>
      </c>
    </row>
    <row r="32" spans="1:14" ht="15" x14ac:dyDescent="0.25">
      <c r="A32" s="7">
        <v>10104</v>
      </c>
      <c r="B32" s="11">
        <v>10106</v>
      </c>
      <c r="C32" s="43" t="e">
        <f t="shared" si="0"/>
        <v>#N/A</v>
      </c>
    </row>
    <row r="33" spans="1:3" ht="15" x14ac:dyDescent="0.25">
      <c r="A33" s="7">
        <v>10110</v>
      </c>
      <c r="B33" s="11">
        <v>10112</v>
      </c>
      <c r="C33" s="43" t="e">
        <f t="shared" si="0"/>
        <v>#N/A</v>
      </c>
    </row>
    <row r="34" spans="1:3" ht="15" x14ac:dyDescent="0.25">
      <c r="A34" s="7">
        <v>10100</v>
      </c>
      <c r="B34" s="11">
        <v>10114</v>
      </c>
      <c r="C34" s="43" t="e">
        <f t="shared" si="0"/>
        <v>#N/A</v>
      </c>
    </row>
    <row r="35" spans="1:3" ht="15" x14ac:dyDescent="0.25">
      <c r="A35" s="9">
        <v>10112</v>
      </c>
      <c r="B35" s="12">
        <v>10116</v>
      </c>
      <c r="C35" s="43" t="e">
        <f t="shared" si="0"/>
        <v>#N/A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DCS-santhoshi</cp:lastModifiedBy>
  <dcterms:created xsi:type="dcterms:W3CDTF">2015-02-10T17:33:11Z</dcterms:created>
  <dcterms:modified xsi:type="dcterms:W3CDTF">2023-12-11T16:39:20Z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e16b73c4-7ad2-4afd-9e20-8a78b745878b</vt:lpwstr>
  </property>
</Properties>
</file>